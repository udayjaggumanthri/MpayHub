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EC27857542BBBE/Documents/"/>
    </mc:Choice>
  </mc:AlternateContent>
  <xr:revisionPtr revIDLastSave="0" documentId="8_{7836F1F9-8BDC-4BE1-BC95-3B12AEB5139A}" xr6:coauthVersionLast="47" xr6:coauthVersionMax="47" xr10:uidLastSave="{00000000-0000-0000-0000-000000000000}"/>
  <bookViews>
    <workbookView xWindow="-108" yWindow="-108" windowWidth="23256" windowHeight="12456" xr2:uid="{8A8B8393-D49D-43C2-8F18-2D179493286B}"/>
  </bookViews>
  <sheets>
    <sheet name="PayIN_Commission" sheetId="2" r:id="rId1"/>
    <sheet name="PayOUT_Charge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3" l="1"/>
  <c r="E8" i="3"/>
  <c r="B10" i="3"/>
  <c r="E7" i="3"/>
  <c r="E6" i="3"/>
  <c r="F6" i="3" s="1"/>
  <c r="B7" i="3" s="1"/>
  <c r="F7" i="3" s="1"/>
  <c r="B8" i="3" s="1"/>
  <c r="G74" i="2"/>
  <c r="F74" i="2"/>
  <c r="J32" i="2"/>
  <c r="G56" i="2"/>
  <c r="G42" i="2"/>
  <c r="G37" i="2"/>
  <c r="H65" i="2"/>
  <c r="G65" i="2"/>
  <c r="F65" i="2"/>
  <c r="H56" i="2"/>
  <c r="F56" i="2"/>
  <c r="I51" i="2"/>
  <c r="H51" i="2"/>
  <c r="G51" i="2"/>
  <c r="F51" i="2"/>
  <c r="H42" i="2"/>
  <c r="F42" i="2"/>
  <c r="I37" i="2"/>
  <c r="H37" i="2"/>
  <c r="F37" i="2"/>
  <c r="I32" i="2"/>
  <c r="H32" i="2"/>
  <c r="G32" i="2"/>
  <c r="F32" i="2"/>
  <c r="H23" i="2"/>
  <c r="G23" i="2"/>
  <c r="F23" i="2"/>
  <c r="I18" i="2"/>
  <c r="H18" i="2"/>
  <c r="G18" i="2"/>
  <c r="F18" i="2"/>
  <c r="J13" i="2"/>
  <c r="I13" i="2"/>
  <c r="H13" i="2"/>
  <c r="G13" i="2"/>
  <c r="F13" i="2"/>
  <c r="K8" i="2"/>
  <c r="J8" i="2"/>
  <c r="I8" i="2"/>
  <c r="H8" i="2"/>
  <c r="G8" i="2"/>
  <c r="F8" i="2"/>
  <c r="F8" i="3" l="1"/>
  <c r="B9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tc={8E7012BA-CCD6-4614-9C0C-AB49426F33A2}</author>
    <author>tc={1EA3F06A-3631-4CDA-A315-7FAAF168A3D2}</author>
  </authors>
  <commentList>
    <comment ref="D6" authorId="0" shapeId="0" xr:uid="{8E7012BA-CCD6-4614-9C0C-AB49426F33A2}">
      <text>
        <t>[Threaded comment]
Your version of Excel allows you to read this threaded comment; however, any edits to it will get removed if the file is opened in a newer version of Excel. Learn more: https://go.microsoft.com/fwlink/?linkid=870924
Comment:
    1 - 24,999 is 7Rs.</t>
      </text>
    </comment>
    <comment ref="D7" authorId="1" shapeId="0" xr:uid="{1EA3F06A-3631-4CDA-A315-7FAAF168A3D2}">
      <text>
        <t>[Threaded comment]
Your version of Excel allows you to read this threaded comment; however, any edits to it will get removed if the file is opened in a newer version of Excel. Learn more: https://go.microsoft.com/fwlink/?linkid=870924
Comment:
    25,000 - 1,00,000 is 15Rs.</t>
      </text>
    </comment>
  </commentList>
</comments>
</file>

<file path=xl/sharedStrings.xml><?xml version="1.0" encoding="utf-8"?>
<sst xmlns="http://schemas.openxmlformats.org/spreadsheetml/2006/main" count="84" uniqueCount="37">
  <si>
    <t>Admin</t>
  </si>
  <si>
    <t>Column1</t>
  </si>
  <si>
    <t>Column2</t>
  </si>
  <si>
    <t>Column3</t>
  </si>
  <si>
    <t>Column4</t>
  </si>
  <si>
    <t>Column5</t>
  </si>
  <si>
    <t>Column6</t>
  </si>
  <si>
    <t>Amount</t>
  </si>
  <si>
    <t>Gateway(Ex:1%)</t>
  </si>
  <si>
    <t>Admin(0.24%)</t>
  </si>
  <si>
    <t>Super Distributer(0.01%)</t>
  </si>
  <si>
    <t>Master Distributer(0.02%)</t>
  </si>
  <si>
    <t>Distributer (0.03%)</t>
  </si>
  <si>
    <t>Retailer</t>
  </si>
  <si>
    <t>Admin(0.25%)</t>
  </si>
  <si>
    <t>Admin(0.27%)</t>
  </si>
  <si>
    <t>Admin(0.30%)</t>
  </si>
  <si>
    <t>When Admin have directly onboarded the SD, MD, DT &amp; RT</t>
  </si>
  <si>
    <t>Super Distributer</t>
  </si>
  <si>
    <t>Super Distributer(0.03%)</t>
  </si>
  <si>
    <t>Super Distributer (0.06%)</t>
  </si>
  <si>
    <t>When Admin have directly onboarded the MD, DT &amp; RT</t>
  </si>
  <si>
    <t>Master Distributer</t>
  </si>
  <si>
    <t>Master Distributer (0.05%)</t>
  </si>
  <si>
    <t>When Admin have directly onboarded the DT &amp; RT</t>
  </si>
  <si>
    <t>Distributer</t>
  </si>
  <si>
    <t>When Admin have directly onboarded the RT</t>
  </si>
  <si>
    <t>Wallet</t>
  </si>
  <si>
    <t>Limit</t>
  </si>
  <si>
    <t>Payout Charge</t>
  </si>
  <si>
    <t>Wallet Debit Amt</t>
  </si>
  <si>
    <t>Waller Balance</t>
  </si>
  <si>
    <t>Txn-1</t>
  </si>
  <si>
    <t>Txn-2</t>
  </si>
  <si>
    <t>Txn-3</t>
  </si>
  <si>
    <t>Txn-4</t>
  </si>
  <si>
    <t>Txn-5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</si>
</sst>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ck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ck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ck">
        <color theme="0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/>
      <top style="medium">
        <color indexed="64"/>
      </top>
      <bottom style="thick">
        <color theme="0"/>
      </bottom>
      <diagonal/>
    </border>
    <border>
      <left/>
      <right style="medium">
        <color indexed="64"/>
      </right>
      <top style="medium">
        <color indexed="64"/>
      </top>
      <bottom style="thick">
        <color theme="0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NumberFormat="1"/>
    <xf numFmtId="0" fontId="0" fillId="3" borderId="1" xfId="0" applyFont="1" applyFill="1" applyBorder="1" applyAlignment="1">
      <alignment horizontal="left"/>
    </xf>
    <xf numFmtId="0" fontId="0" fillId="4" borderId="1" xfId="0" applyFont="1" applyFill="1" applyBorder="1" applyAlignment="1">
      <alignment horizontal="left"/>
    </xf>
    <xf numFmtId="2" fontId="0" fillId="4" borderId="1" xfId="0" applyNumberFormat="1" applyFont="1" applyFill="1" applyBorder="1" applyAlignment="1">
      <alignment horizontal="left"/>
    </xf>
    <xf numFmtId="2" fontId="0" fillId="3" borderId="1" xfId="0" applyNumberFormat="1" applyFont="1" applyFill="1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left"/>
    </xf>
    <xf numFmtId="2" fontId="0" fillId="0" borderId="0" xfId="0" applyNumberFormat="1" applyBorder="1" applyAlignment="1">
      <alignment horizontal="left"/>
    </xf>
    <xf numFmtId="0" fontId="1" fillId="2" borderId="9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4" xfId="0" applyFont="1" applyFill="1" applyBorder="1" applyAlignment="1">
      <alignment horizontal="left"/>
    </xf>
    <xf numFmtId="0" fontId="0" fillId="3" borderId="5" xfId="0" applyFont="1" applyFill="1" applyBorder="1" applyAlignment="1">
      <alignment horizontal="left"/>
    </xf>
    <xf numFmtId="0" fontId="0" fillId="4" borderId="4" xfId="0" applyFont="1" applyFill="1" applyBorder="1" applyAlignment="1">
      <alignment horizontal="left"/>
    </xf>
    <xf numFmtId="2" fontId="0" fillId="4" borderId="5" xfId="0" applyNumberFormat="1" applyFont="1" applyFill="1" applyBorder="1" applyAlignment="1">
      <alignment horizontal="left"/>
    </xf>
    <xf numFmtId="0" fontId="0" fillId="4" borderId="5" xfId="0" applyFont="1" applyFill="1" applyBorder="1" applyAlignment="1">
      <alignment horizontal="left"/>
    </xf>
    <xf numFmtId="0" fontId="0" fillId="3" borderId="6" xfId="0" applyFont="1" applyFill="1" applyBorder="1" applyAlignment="1">
      <alignment horizontal="left"/>
    </xf>
    <xf numFmtId="0" fontId="0" fillId="3" borderId="7" xfId="0" applyFont="1" applyFill="1" applyBorder="1" applyAlignment="1">
      <alignment horizontal="left"/>
    </xf>
    <xf numFmtId="0" fontId="0" fillId="3" borderId="8" xfId="0" applyFont="1" applyFill="1" applyBorder="1" applyAlignment="1">
      <alignment horizontal="left"/>
    </xf>
    <xf numFmtId="0" fontId="0" fillId="4" borderId="6" xfId="0" applyFont="1" applyFill="1" applyBorder="1" applyAlignment="1">
      <alignment horizontal="left"/>
    </xf>
    <xf numFmtId="0" fontId="0" fillId="4" borderId="7" xfId="0" applyFont="1" applyFill="1" applyBorder="1" applyAlignment="1">
      <alignment horizontal="left"/>
    </xf>
    <xf numFmtId="0" fontId="0" fillId="4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3" fontId="0" fillId="4" borderId="1" xfId="0" applyNumberFormat="1" applyFont="1" applyFill="1" applyBorder="1" applyAlignment="1">
      <alignment horizontal="left"/>
    </xf>
    <xf numFmtId="2" fontId="0" fillId="4" borderId="11" xfId="0" applyNumberFormat="1" applyFont="1" applyFill="1" applyBorder="1" applyAlignment="1">
      <alignment horizontal="left"/>
    </xf>
    <xf numFmtId="0" fontId="1" fillId="2" borderId="13" xfId="0" applyFont="1" applyFill="1" applyBorder="1"/>
    <xf numFmtId="3" fontId="0" fillId="4" borderId="11" xfId="0" applyNumberFormat="1" applyFont="1" applyFill="1" applyBorder="1" applyAlignment="1">
      <alignment horizontal="left"/>
    </xf>
    <xf numFmtId="2" fontId="0" fillId="4" borderId="0" xfId="0" applyNumberFormat="1" applyFont="1" applyFill="1" applyBorder="1" applyAlignment="1">
      <alignment horizontal="left"/>
    </xf>
    <xf numFmtId="0" fontId="1" fillId="2" borderId="14" xfId="0" applyFont="1" applyFill="1" applyBorder="1"/>
    <xf numFmtId="0" fontId="0" fillId="4" borderId="12" xfId="0" applyFont="1" applyFill="1" applyBorder="1" applyAlignment="1">
      <alignment horizontal="left"/>
    </xf>
    <xf numFmtId="0" fontId="1" fillId="2" borderId="15" xfId="0" applyFont="1" applyFill="1" applyBorder="1"/>
    <xf numFmtId="2" fontId="0" fillId="4" borderId="16" xfId="0" applyNumberFormat="1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12" xfId="0" applyFont="1" applyFill="1" applyBorder="1" applyAlignment="1">
      <alignment horizontal="left"/>
    </xf>
    <xf numFmtId="0" fontId="2" fillId="3" borderId="16" xfId="0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0" fillId="5" borderId="10" xfId="0" applyFill="1" applyBorder="1" applyAlignment="1">
      <alignment horizontal="left"/>
    </xf>
  </cellXfs>
  <cellStyles count="1">
    <cellStyle name="Normal" xfId="0" builtinId="0"/>
  </cellStyles>
  <dxfs count="9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est User" id="{5DB9C2AC-687A-4832-99E6-7850DCA18C50}" userId="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E2D0251-0C49-48EC-85D4-348D35FD29E8}" name="Table18" displayName="Table18" ref="E6:K26" totalsRowShown="0" dataDxfId="8" tableBorderDxfId="7">
  <autoFilter ref="E6:K26" xr:uid="{AE2D0251-0C49-48EC-85D4-348D35FD29E8}"/>
  <tableColumns count="7">
    <tableColumn id="1" xr3:uid="{8FB5D82D-9040-4A65-9D99-8A0C5CCA4F75}" name="Admin" dataDxfId="6"/>
    <tableColumn id="2" xr3:uid="{AE77E109-837C-4F0C-A64E-5D203DBCB071}" name="Column1" dataDxfId="5"/>
    <tableColumn id="3" xr3:uid="{954EBF70-36A3-4CA6-A2F1-B814D1DE94A1}" name="Column2" dataDxfId="4"/>
    <tableColumn id="4" xr3:uid="{5FE95AF3-4187-438A-B8A2-889C5502948D}" name="Column3" dataDxfId="3"/>
    <tableColumn id="5" xr3:uid="{0C88981D-942D-407D-A749-53E37E48754D}" name="Column4" dataDxfId="2"/>
    <tableColumn id="6" xr3:uid="{4BB21D27-8188-43EA-992A-E5DFA71793FB}" name="Column5" dataDxfId="1"/>
    <tableColumn id="7" xr3:uid="{3B471853-4063-4390-BBD7-AF86C7686353}" name="Column6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6" dT="2026-03-03T11:24:54.37" personId="{5DB9C2AC-687A-4832-99E6-7850DCA18C50}" id="{8E7012BA-CCD6-4614-9C0C-AB49426F33A2}">
    <text>1 - 24,999 is 7Rs.</text>
  </threadedComment>
  <threadedComment ref="D7" dT="2026-03-03T11:25:22.47" personId="{5DB9C2AC-687A-4832-99E6-7850DCA18C50}" id="{1EA3F06A-3631-4CDA-A315-7FAAF168A3D2}">
    <text>25,000 - 1,00,000 is 15Rs.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AF317-24B4-4583-AD92-6BFC398C8E3C}">
  <dimension ref="E4:L78"/>
  <sheetViews>
    <sheetView tabSelected="1" topLeftCell="C52" workbookViewId="0">
      <selection activeCell="E73" sqref="E73:G73"/>
    </sheetView>
  </sheetViews>
  <sheetFormatPr defaultRowHeight="14.45"/>
  <cols>
    <col min="5" max="5" width="24.28515625" customWidth="1"/>
    <col min="6" max="6" width="28.28515625" customWidth="1"/>
    <col min="7" max="7" width="23.7109375" customWidth="1"/>
    <col min="8" max="8" width="25.85546875" customWidth="1"/>
    <col min="9" max="9" width="24" customWidth="1"/>
    <col min="10" max="10" width="47.28515625" bestFit="1" customWidth="1"/>
    <col min="11" max="11" width="11.42578125" customWidth="1"/>
  </cols>
  <sheetData>
    <row r="4" spans="5:12" ht="15"/>
    <row r="5" spans="5:12" ht="15">
      <c r="E5" s="39" t="s">
        <v>0</v>
      </c>
      <c r="F5" s="39"/>
    </row>
    <row r="6" spans="5:12" ht="15">
      <c r="E6" s="6" t="s">
        <v>0</v>
      </c>
      <c r="F6" s="6" t="s">
        <v>1</v>
      </c>
      <c r="G6" s="6" t="s">
        <v>2</v>
      </c>
      <c r="H6" s="6" t="s">
        <v>3</v>
      </c>
      <c r="I6" s="6" t="s">
        <v>4</v>
      </c>
      <c r="J6" s="6" t="s">
        <v>5</v>
      </c>
      <c r="K6" s="6" t="s">
        <v>6</v>
      </c>
      <c r="L6" s="1"/>
    </row>
    <row r="7" spans="5:12" ht="15">
      <c r="E7" s="37" t="s">
        <v>7</v>
      </c>
      <c r="F7" s="37" t="s">
        <v>8</v>
      </c>
      <c r="G7" s="37" t="s">
        <v>9</v>
      </c>
      <c r="H7" s="37" t="s">
        <v>10</v>
      </c>
      <c r="I7" s="37" t="s">
        <v>11</v>
      </c>
      <c r="J7" s="37" t="s">
        <v>12</v>
      </c>
      <c r="K7" s="37" t="s">
        <v>13</v>
      </c>
    </row>
    <row r="8" spans="5:12">
      <c r="E8" s="7">
        <v>100000</v>
      </c>
      <c r="F8" s="7">
        <f>E8*1%</f>
        <v>1000</v>
      </c>
      <c r="G8" s="7">
        <f>E8*0.24%</f>
        <v>239.99999999999997</v>
      </c>
      <c r="H8" s="7">
        <f>E8*0.01%</f>
        <v>10</v>
      </c>
      <c r="I8" s="7">
        <f>E8*0.02%</f>
        <v>20</v>
      </c>
      <c r="J8" s="7">
        <f>E8*0.03%</f>
        <v>29.999999999999996</v>
      </c>
      <c r="K8" s="8">
        <f>E8*(1-1.3%)</f>
        <v>98700</v>
      </c>
    </row>
    <row r="9" spans="5:12">
      <c r="E9" s="7"/>
      <c r="F9" s="7"/>
      <c r="G9" s="7"/>
      <c r="H9" s="7"/>
      <c r="I9" s="7"/>
      <c r="J9" s="7"/>
      <c r="K9" s="7"/>
    </row>
    <row r="10" spans="5:12">
      <c r="E10" s="7"/>
      <c r="F10" s="7"/>
      <c r="G10" s="7"/>
      <c r="H10" s="7"/>
      <c r="I10" s="7"/>
      <c r="J10" s="7"/>
      <c r="K10" s="7"/>
    </row>
    <row r="11" spans="5:12">
      <c r="E11" s="7"/>
      <c r="F11" s="7"/>
      <c r="G11" s="7"/>
      <c r="H11" s="7"/>
      <c r="I11" s="7"/>
      <c r="J11" s="7"/>
      <c r="K11" s="7"/>
    </row>
    <row r="12" spans="5:12">
      <c r="E12" s="7" t="s">
        <v>7</v>
      </c>
      <c r="F12" s="7" t="s">
        <v>8</v>
      </c>
      <c r="G12" s="7" t="s">
        <v>14</v>
      </c>
      <c r="H12" s="7" t="s">
        <v>11</v>
      </c>
      <c r="I12" s="7" t="s">
        <v>12</v>
      </c>
      <c r="J12" s="7" t="s">
        <v>13</v>
      </c>
      <c r="K12" s="7"/>
    </row>
    <row r="13" spans="5:12">
      <c r="E13" s="7">
        <v>100000</v>
      </c>
      <c r="F13" s="7">
        <f>E13*1%</f>
        <v>1000</v>
      </c>
      <c r="G13" s="7">
        <f>E13*0.25%</f>
        <v>250</v>
      </c>
      <c r="H13" s="7">
        <f>E13*0.02%</f>
        <v>20</v>
      </c>
      <c r="I13" s="7">
        <f>E13*0.03%</f>
        <v>29.999999999999996</v>
      </c>
      <c r="J13" s="8">
        <f>E13*(1-1.3%)</f>
        <v>98700</v>
      </c>
      <c r="K13" s="7"/>
    </row>
    <row r="14" spans="5:12">
      <c r="E14" s="7"/>
      <c r="F14" s="7"/>
      <c r="G14" s="7"/>
      <c r="H14" s="7"/>
      <c r="I14" s="7"/>
      <c r="J14" s="7"/>
      <c r="K14" s="7"/>
    </row>
    <row r="15" spans="5:12">
      <c r="E15" s="7"/>
      <c r="F15" s="7"/>
      <c r="G15" s="7"/>
      <c r="H15" s="7"/>
      <c r="I15" s="7"/>
      <c r="J15" s="7"/>
      <c r="K15" s="7"/>
    </row>
    <row r="16" spans="5:12">
      <c r="E16" s="7"/>
      <c r="F16" s="7"/>
      <c r="G16" s="7"/>
      <c r="H16" s="7"/>
      <c r="I16" s="7"/>
      <c r="J16" s="7"/>
      <c r="K16" s="7"/>
    </row>
    <row r="17" spans="5:11">
      <c r="E17" s="7" t="s">
        <v>7</v>
      </c>
      <c r="F17" s="7" t="s">
        <v>8</v>
      </c>
      <c r="G17" s="7" t="s">
        <v>15</v>
      </c>
      <c r="H17" s="7" t="s">
        <v>12</v>
      </c>
      <c r="I17" s="7" t="s">
        <v>13</v>
      </c>
      <c r="J17" s="7"/>
      <c r="K17" s="7"/>
    </row>
    <row r="18" spans="5:11">
      <c r="E18" s="7">
        <v>100000</v>
      </c>
      <c r="F18" s="7">
        <f>E18*1%</f>
        <v>1000</v>
      </c>
      <c r="G18" s="7">
        <f>E18*0.27%</f>
        <v>270</v>
      </c>
      <c r="H18" s="7">
        <f>E18*0.03%</f>
        <v>29.999999999999996</v>
      </c>
      <c r="I18" s="8">
        <f>E18*(1-1.3%)</f>
        <v>98700</v>
      </c>
      <c r="J18" s="7"/>
      <c r="K18" s="7"/>
    </row>
    <row r="19" spans="5:11">
      <c r="E19" s="7"/>
      <c r="F19" s="7"/>
      <c r="G19" s="7"/>
      <c r="H19" s="7"/>
      <c r="I19" s="7"/>
      <c r="J19" s="7"/>
      <c r="K19" s="7"/>
    </row>
    <row r="20" spans="5:11">
      <c r="E20" s="7"/>
      <c r="F20" s="7"/>
      <c r="G20" s="7"/>
      <c r="H20" s="7"/>
      <c r="I20" s="7"/>
      <c r="J20" s="7"/>
      <c r="K20" s="7"/>
    </row>
    <row r="21" spans="5:11">
      <c r="E21" s="7"/>
      <c r="F21" s="7"/>
      <c r="G21" s="7"/>
      <c r="H21" s="7"/>
      <c r="I21" s="7"/>
      <c r="J21" s="7"/>
      <c r="K21" s="7"/>
    </row>
    <row r="22" spans="5:11">
      <c r="E22" s="7" t="s">
        <v>7</v>
      </c>
      <c r="F22" s="7" t="s">
        <v>8</v>
      </c>
      <c r="G22" s="7" t="s">
        <v>16</v>
      </c>
      <c r="H22" s="7" t="s">
        <v>13</v>
      </c>
      <c r="I22" s="7"/>
      <c r="J22" s="7"/>
      <c r="K22" s="7"/>
    </row>
    <row r="23" spans="5:11">
      <c r="E23" s="7">
        <v>100000</v>
      </c>
      <c r="F23" s="7">
        <f>E23*1%</f>
        <v>1000</v>
      </c>
      <c r="G23" s="7">
        <f>E23*0.3%</f>
        <v>300</v>
      </c>
      <c r="H23" s="8">
        <f>E23*(1-1.3%)</f>
        <v>98700</v>
      </c>
      <c r="I23" s="7"/>
      <c r="J23" s="7"/>
      <c r="K23" s="7"/>
    </row>
    <row r="24" spans="5:11">
      <c r="E24" s="7"/>
      <c r="F24" s="7"/>
      <c r="G24" s="7"/>
      <c r="H24" s="7"/>
      <c r="I24" s="7"/>
      <c r="J24" s="7"/>
      <c r="K24" s="7"/>
    </row>
    <row r="25" spans="5:11">
      <c r="E25" s="7"/>
      <c r="F25" s="7"/>
      <c r="G25" s="7"/>
      <c r="H25" s="7"/>
      <c r="I25" s="7"/>
      <c r="J25" s="7"/>
      <c r="K25" s="7"/>
    </row>
    <row r="26" spans="5:11">
      <c r="E26" s="7"/>
      <c r="F26" s="7"/>
      <c r="G26" s="7"/>
      <c r="H26" s="7"/>
      <c r="I26" s="7"/>
      <c r="J26" s="7"/>
      <c r="K26" s="7"/>
    </row>
    <row r="28" spans="5:11" ht="15"/>
    <row r="29" spans="5:11" ht="15">
      <c r="E29" s="39" t="s">
        <v>17</v>
      </c>
      <c r="F29" s="39"/>
    </row>
    <row r="30" spans="5:11" ht="15">
      <c r="E30" s="9" t="s">
        <v>18</v>
      </c>
      <c r="F30" s="10"/>
      <c r="G30" s="10"/>
      <c r="H30" s="10"/>
      <c r="I30" s="10"/>
      <c r="J30" s="11"/>
    </row>
    <row r="31" spans="5:11" ht="15">
      <c r="E31" s="33" t="s">
        <v>7</v>
      </c>
      <c r="F31" s="34" t="s">
        <v>8</v>
      </c>
      <c r="G31" s="34" t="s">
        <v>10</v>
      </c>
      <c r="H31" s="34" t="s">
        <v>11</v>
      </c>
      <c r="I31" s="34" t="s">
        <v>12</v>
      </c>
      <c r="J31" s="38" t="s">
        <v>13</v>
      </c>
    </row>
    <row r="32" spans="5:11">
      <c r="E32" s="14">
        <v>100000</v>
      </c>
      <c r="F32" s="3">
        <f>E32*1%</f>
        <v>1000</v>
      </c>
      <c r="G32" s="3">
        <f>E32*0.01%</f>
        <v>10</v>
      </c>
      <c r="H32" s="3">
        <f>E32*0.02%</f>
        <v>20</v>
      </c>
      <c r="I32" s="3">
        <f>E32*0.03%</f>
        <v>29.999999999999996</v>
      </c>
      <c r="J32" s="15">
        <f>E32*(1-1.3%)</f>
        <v>98700</v>
      </c>
    </row>
    <row r="33" spans="5:10">
      <c r="E33" s="12"/>
      <c r="F33" s="2"/>
      <c r="G33" s="2"/>
      <c r="H33" s="2"/>
      <c r="I33" s="2"/>
      <c r="J33" s="13"/>
    </row>
    <row r="34" spans="5:10">
      <c r="E34" s="14"/>
      <c r="F34" s="3"/>
      <c r="G34" s="3"/>
      <c r="H34" s="3"/>
      <c r="I34" s="3"/>
      <c r="J34" s="16"/>
    </row>
    <row r="35" spans="5:10">
      <c r="E35" s="12"/>
      <c r="F35" s="2"/>
      <c r="G35" s="2"/>
      <c r="H35" s="2"/>
      <c r="I35" s="2"/>
      <c r="J35" s="13"/>
    </row>
    <row r="36" spans="5:10">
      <c r="E36" s="14" t="s">
        <v>7</v>
      </c>
      <c r="F36" s="3" t="s">
        <v>8</v>
      </c>
      <c r="G36" s="3" t="s">
        <v>19</v>
      </c>
      <c r="H36" s="3" t="s">
        <v>12</v>
      </c>
      <c r="I36" s="3" t="s">
        <v>13</v>
      </c>
      <c r="J36" s="16"/>
    </row>
    <row r="37" spans="5:10">
      <c r="E37" s="12">
        <v>100000</v>
      </c>
      <c r="F37" s="2">
        <f>E37*1%</f>
        <v>1000</v>
      </c>
      <c r="G37" s="2">
        <f>E37*0.03%</f>
        <v>29.999999999999996</v>
      </c>
      <c r="H37" s="2">
        <f>E37*0.03%</f>
        <v>29.999999999999996</v>
      </c>
      <c r="I37" s="5">
        <f>E37*(1-1.3%)</f>
        <v>98700</v>
      </c>
      <c r="J37" s="13"/>
    </row>
    <row r="38" spans="5:10">
      <c r="E38" s="14"/>
      <c r="F38" s="3"/>
      <c r="G38" s="3"/>
      <c r="H38" s="3"/>
      <c r="I38" s="3"/>
      <c r="J38" s="16"/>
    </row>
    <row r="39" spans="5:10">
      <c r="E39" s="12"/>
      <c r="F39" s="2"/>
      <c r="G39" s="2"/>
      <c r="H39" s="2"/>
      <c r="I39" s="2"/>
      <c r="J39" s="13"/>
    </row>
    <row r="40" spans="5:10">
      <c r="E40" s="14"/>
      <c r="F40" s="3"/>
      <c r="G40" s="3"/>
      <c r="H40" s="3"/>
      <c r="I40" s="3"/>
      <c r="J40" s="16"/>
    </row>
    <row r="41" spans="5:10">
      <c r="E41" s="12" t="s">
        <v>7</v>
      </c>
      <c r="F41" s="2" t="s">
        <v>8</v>
      </c>
      <c r="G41" s="2" t="s">
        <v>20</v>
      </c>
      <c r="H41" s="2" t="s">
        <v>13</v>
      </c>
      <c r="I41" s="2"/>
      <c r="J41" s="13"/>
    </row>
    <row r="42" spans="5:10">
      <c r="E42" s="14">
        <v>100000</v>
      </c>
      <c r="F42" s="3">
        <f>E42*1%</f>
        <v>1000</v>
      </c>
      <c r="G42" s="3">
        <f>E42*0.06%</f>
        <v>59.999999999999993</v>
      </c>
      <c r="H42" s="4">
        <f>E42*(1-1.3%)</f>
        <v>98700</v>
      </c>
      <c r="I42" s="3"/>
      <c r="J42" s="16"/>
    </row>
    <row r="43" spans="5:10">
      <c r="E43" s="12"/>
      <c r="F43" s="2"/>
      <c r="G43" s="2"/>
      <c r="H43" s="2"/>
      <c r="I43" s="2"/>
      <c r="J43" s="13"/>
    </row>
    <row r="44" spans="5:10">
      <c r="E44" s="14"/>
      <c r="F44" s="3"/>
      <c r="G44" s="3"/>
      <c r="H44" s="3"/>
      <c r="I44" s="3"/>
      <c r="J44" s="16"/>
    </row>
    <row r="45" spans="5:10" ht="15" thickBot="1">
      <c r="E45" s="17"/>
      <c r="F45" s="18"/>
      <c r="G45" s="18"/>
      <c r="H45" s="18"/>
      <c r="I45" s="18"/>
      <c r="J45" s="19"/>
    </row>
    <row r="47" spans="5:10" ht="15"/>
    <row r="48" spans="5:10" ht="15">
      <c r="E48" s="39" t="s">
        <v>21</v>
      </c>
      <c r="F48" s="39"/>
    </row>
    <row r="49" spans="5:9" ht="15">
      <c r="E49" s="9" t="s">
        <v>22</v>
      </c>
      <c r="F49" s="10"/>
      <c r="G49" s="10"/>
      <c r="H49" s="10"/>
      <c r="I49" s="11"/>
    </row>
    <row r="50" spans="5:9" ht="15">
      <c r="E50" s="33" t="s">
        <v>7</v>
      </c>
      <c r="F50" s="34" t="s">
        <v>8</v>
      </c>
      <c r="G50" s="34" t="s">
        <v>11</v>
      </c>
      <c r="H50" s="34" t="s">
        <v>12</v>
      </c>
      <c r="I50" s="38" t="s">
        <v>13</v>
      </c>
    </row>
    <row r="51" spans="5:9">
      <c r="E51" s="14">
        <v>100000</v>
      </c>
      <c r="F51" s="3">
        <f>E51*1%</f>
        <v>1000</v>
      </c>
      <c r="G51" s="3">
        <f>E51*0.02%</f>
        <v>20</v>
      </c>
      <c r="H51" s="3">
        <f>E51*0.03%</f>
        <v>29.999999999999996</v>
      </c>
      <c r="I51" s="15">
        <f>E51*(1-1.3%)</f>
        <v>98700</v>
      </c>
    </row>
    <row r="52" spans="5:9">
      <c r="E52" s="12"/>
      <c r="F52" s="2"/>
      <c r="G52" s="2"/>
      <c r="H52" s="2"/>
      <c r="I52" s="13"/>
    </row>
    <row r="53" spans="5:9">
      <c r="E53" s="14"/>
      <c r="F53" s="3"/>
      <c r="G53" s="3"/>
      <c r="H53" s="3"/>
      <c r="I53" s="16"/>
    </row>
    <row r="54" spans="5:9">
      <c r="E54" s="12"/>
      <c r="F54" s="2"/>
      <c r="G54" s="2"/>
      <c r="H54" s="2"/>
      <c r="I54" s="13"/>
    </row>
    <row r="55" spans="5:9">
      <c r="E55" s="14" t="s">
        <v>7</v>
      </c>
      <c r="F55" s="3" t="s">
        <v>8</v>
      </c>
      <c r="G55" s="3" t="s">
        <v>23</v>
      </c>
      <c r="H55" s="3" t="s">
        <v>13</v>
      </c>
      <c r="I55" s="16"/>
    </row>
    <row r="56" spans="5:9">
      <c r="E56" s="12">
        <v>100000</v>
      </c>
      <c r="F56" s="2">
        <f>E56*1%</f>
        <v>1000</v>
      </c>
      <c r="G56" s="2">
        <f>E56*0.05%</f>
        <v>50</v>
      </c>
      <c r="H56" s="5">
        <f>E56*(1-1.3%)</f>
        <v>98700</v>
      </c>
      <c r="I56" s="13"/>
    </row>
    <row r="57" spans="5:9">
      <c r="E57" s="14"/>
      <c r="F57" s="3"/>
      <c r="G57" s="3"/>
      <c r="H57" s="3"/>
      <c r="I57" s="16"/>
    </row>
    <row r="58" spans="5:9">
      <c r="E58" s="12"/>
      <c r="F58" s="2"/>
      <c r="G58" s="2"/>
      <c r="H58" s="2"/>
      <c r="I58" s="13"/>
    </row>
    <row r="59" spans="5:9" ht="15" thickBot="1">
      <c r="E59" s="20"/>
      <c r="F59" s="21"/>
      <c r="G59" s="21"/>
      <c r="H59" s="21"/>
      <c r="I59" s="22"/>
    </row>
    <row r="61" spans="5:9" ht="15"/>
    <row r="62" spans="5:9" ht="15">
      <c r="E62" s="39" t="s">
        <v>24</v>
      </c>
      <c r="F62" s="39"/>
    </row>
    <row r="63" spans="5:9" ht="15">
      <c r="E63" s="23" t="s">
        <v>25</v>
      </c>
      <c r="F63" s="10"/>
      <c r="G63" s="10"/>
      <c r="H63" s="11"/>
    </row>
    <row r="64" spans="5:9" ht="15">
      <c r="E64" s="33" t="s">
        <v>7</v>
      </c>
      <c r="F64" s="34" t="s">
        <v>8</v>
      </c>
      <c r="G64" s="34" t="s">
        <v>12</v>
      </c>
      <c r="H64" s="38" t="s">
        <v>13</v>
      </c>
    </row>
    <row r="65" spans="5:8">
      <c r="E65" s="14">
        <v>100000</v>
      </c>
      <c r="F65" s="3">
        <f>E65*1%</f>
        <v>1000</v>
      </c>
      <c r="G65" s="3">
        <f>E65*0.03%</f>
        <v>29.999999999999996</v>
      </c>
      <c r="H65" s="15">
        <f>E65*(1-1.3%)</f>
        <v>98700</v>
      </c>
    </row>
    <row r="66" spans="5:8">
      <c r="E66" s="12"/>
      <c r="F66" s="2"/>
      <c r="G66" s="2"/>
      <c r="H66" s="13"/>
    </row>
    <row r="67" spans="5:8">
      <c r="E67" s="14"/>
      <c r="F67" s="3"/>
      <c r="G67" s="3"/>
      <c r="H67" s="16"/>
    </row>
    <row r="68" spans="5:8" ht="15" thickBot="1">
      <c r="E68" s="17"/>
      <c r="F68" s="18"/>
      <c r="G68" s="18"/>
      <c r="H68" s="19"/>
    </row>
    <row r="70" spans="5:8" ht="15"/>
    <row r="71" spans="5:8" ht="15">
      <c r="E71" s="39" t="s">
        <v>26</v>
      </c>
      <c r="F71" s="39"/>
    </row>
    <row r="72" spans="5:8" ht="15">
      <c r="E72" s="23" t="s">
        <v>25</v>
      </c>
      <c r="F72" s="10"/>
      <c r="G72" s="11"/>
    </row>
    <row r="73" spans="5:8" ht="15">
      <c r="E73" s="33" t="s">
        <v>7</v>
      </c>
      <c r="F73" s="34" t="s">
        <v>8</v>
      </c>
      <c r="G73" s="38" t="s">
        <v>13</v>
      </c>
    </row>
    <row r="74" spans="5:8" ht="15">
      <c r="E74" s="14">
        <v>100000</v>
      </c>
      <c r="F74" s="3">
        <f>E74*1%</f>
        <v>1000</v>
      </c>
      <c r="G74" s="15">
        <f>E74*(1-1.3%)</f>
        <v>98700</v>
      </c>
    </row>
    <row r="75" spans="5:8" ht="15">
      <c r="E75" s="12"/>
      <c r="F75" s="2"/>
      <c r="G75" s="13"/>
    </row>
    <row r="76" spans="5:8" ht="15">
      <c r="E76" s="14"/>
      <c r="F76" s="3"/>
      <c r="G76" s="16"/>
    </row>
    <row r="77" spans="5:8" ht="15">
      <c r="E77" s="17"/>
      <c r="F77" s="18"/>
      <c r="G77" s="19"/>
    </row>
    <row r="78" spans="5:8" ht="15"/>
  </sheetData>
  <mergeCells count="5">
    <mergeCell ref="E62:F62"/>
    <mergeCell ref="E48:F48"/>
    <mergeCell ref="E29:F29"/>
    <mergeCell ref="E5:F5"/>
    <mergeCell ref="E71:F7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63EFC-C73C-4D89-BCDC-8BD8E100903A}">
  <dimension ref="A4:F10"/>
  <sheetViews>
    <sheetView workbookViewId="0">
      <selection activeCell="C13" sqref="C13"/>
    </sheetView>
  </sheetViews>
  <sheetFormatPr defaultRowHeight="15"/>
  <cols>
    <col min="2" max="2" width="26" customWidth="1"/>
    <col min="3" max="3" width="16" customWidth="1"/>
    <col min="4" max="4" width="17.42578125" customWidth="1"/>
    <col min="5" max="5" width="19.5703125" customWidth="1"/>
    <col min="6" max="6" width="18.42578125" customWidth="1"/>
  </cols>
  <sheetData>
    <row r="4" spans="1:6">
      <c r="B4" s="9" t="s">
        <v>27</v>
      </c>
      <c r="C4" s="10" t="s">
        <v>7</v>
      </c>
      <c r="D4" s="29" t="s">
        <v>2</v>
      </c>
      <c r="E4" s="29" t="s">
        <v>3</v>
      </c>
      <c r="F4" s="31" t="s">
        <v>4</v>
      </c>
    </row>
    <row r="5" spans="1:6">
      <c r="B5" s="33" t="s">
        <v>7</v>
      </c>
      <c r="C5" s="34" t="s">
        <v>28</v>
      </c>
      <c r="D5" s="35" t="s">
        <v>29</v>
      </c>
      <c r="E5" s="35" t="s">
        <v>30</v>
      </c>
      <c r="F5" s="36" t="s">
        <v>31</v>
      </c>
    </row>
    <row r="6" spans="1:6">
      <c r="A6" s="26" t="s">
        <v>32</v>
      </c>
      <c r="B6" s="27">
        <v>98700</v>
      </c>
      <c r="C6" s="24">
        <v>24999</v>
      </c>
      <c r="D6" s="30">
        <v>7</v>
      </c>
      <c r="E6" s="28">
        <f>SUM(C6+D6)</f>
        <v>25006</v>
      </c>
      <c r="F6" s="32">
        <f>(B6-E6)</f>
        <v>73694</v>
      </c>
    </row>
    <row r="7" spans="1:6">
      <c r="A7" s="26" t="s">
        <v>33</v>
      </c>
      <c r="B7" s="25">
        <f>F6</f>
        <v>73694</v>
      </c>
      <c r="C7" s="24">
        <v>25000</v>
      </c>
      <c r="D7" s="30">
        <v>15</v>
      </c>
      <c r="E7" s="28">
        <f>SUM(C7+D7)</f>
        <v>25015</v>
      </c>
      <c r="F7" s="32">
        <f>(B7-E7)</f>
        <v>48679</v>
      </c>
    </row>
    <row r="8" spans="1:6">
      <c r="A8" s="26" t="s">
        <v>34</v>
      </c>
      <c r="B8" s="25">
        <f>F7</f>
        <v>48679</v>
      </c>
      <c r="C8" s="24">
        <f>(48679-D8)</f>
        <v>48664</v>
      </c>
      <c r="D8" s="30">
        <v>15</v>
      </c>
      <c r="E8" s="28">
        <f>SUM(C8+D8)</f>
        <v>48679</v>
      </c>
      <c r="F8" s="32">
        <f>(B8-E8)</f>
        <v>0</v>
      </c>
    </row>
    <row r="9" spans="1:6">
      <c r="A9" s="26" t="s">
        <v>35</v>
      </c>
      <c r="B9" s="25">
        <f>F8</f>
        <v>0</v>
      </c>
      <c r="C9" s="24"/>
      <c r="D9" s="30"/>
      <c r="E9" s="28"/>
      <c r="F9" s="32"/>
    </row>
    <row r="10" spans="1:6">
      <c r="A10" s="26" t="s">
        <v>36</v>
      </c>
      <c r="B10" s="25">
        <f>F9</f>
        <v>0</v>
      </c>
      <c r="C10" s="24"/>
      <c r="D10" s="30"/>
      <c r="E10" s="28"/>
      <c r="F10" s="3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Murali Msk</dc:creator>
  <cp:keywords/>
  <dc:description/>
  <cp:lastModifiedBy/>
  <cp:revision/>
  <dcterms:created xsi:type="dcterms:W3CDTF">2026-03-03T08:51:17Z</dcterms:created>
  <dcterms:modified xsi:type="dcterms:W3CDTF">2026-03-11T15:27:45Z</dcterms:modified>
  <cp:category/>
  <cp:contentStatus/>
</cp:coreProperties>
</file>